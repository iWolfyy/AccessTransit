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Acceptance Criteria" sheetId="1" r:id="rId1"/>
    <sheet name="Test Cases" sheetId="2" r:id="rId2"/>
    <sheet name="Bug Tracker" sheetId="3" r:id="rId3"/>
    <sheet name="Sprin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<sst xmlns="http://schemas.openxmlformats.org/spreadsheetml/2006/main" count="225" uniqueCount="156">
  <si>
    <t>Sprint 1 — Acceptance Criteria</t>
  </si>
  <si>
    <t>Inclusive Public Transport Companion | QA: I — De Silva</t>
  </si>
  <si>
    <t>ID</t>
  </si>
  <si>
    <t>Feature</t>
  </si>
  <si>
    <t>Given</t>
  </si>
  <si>
    <t>When</t>
  </si>
  <si>
    <t>Then</t>
  </si>
  <si>
    <t>Owner (Dev)</t>
  </si>
  <si>
    <t>Status</t>
  </si>
  <si>
    <t>AC-01</t>
  </si>
  <si>
    <t>Registration</t>
  </si>
  <si>
    <t>a new user on the Registration screen</t>
  </si>
  <si>
    <t>they enter a valid name, email, and password and submit</t>
  </si>
  <si>
    <t>an account is created in Firebase Auth and a matching user document appears in Firestore, then they land on Home</t>
  </si>
  <si>
    <t>Wijesooriya / Divyanjana</t>
  </si>
  <si>
    <t>Verified</t>
  </si>
  <si>
    <t>AC-02</t>
  </si>
  <si>
    <t>a user enters an email that is already registered</t>
  </si>
  <si>
    <t>they submit the form</t>
  </si>
  <si>
    <t>a clear error message is shown and no duplicate account is created</t>
  </si>
  <si>
    <t>Wijesooriya</t>
  </si>
  <si>
    <t>AC-03</t>
  </si>
  <si>
    <t>a user enters an invalid email format or a weak password</t>
  </si>
  <si>
    <t>an inline validation error appears immediately; no crash, no silent failure</t>
  </si>
  <si>
    <t>Thiwanka / Wijesooriya</t>
  </si>
  <si>
    <t>AC-04</t>
  </si>
  <si>
    <t>Login</t>
  </si>
  <si>
    <t>a registered user on the Login screen</t>
  </si>
  <si>
    <t>they enter valid credentials and submit</t>
  </si>
  <si>
    <t>they are authenticated and redirected to Home</t>
  </si>
  <si>
    <t>AC-05</t>
  </si>
  <si>
    <t>a user enters a wrong password or unregistered email</t>
  </si>
  <si>
    <t>a clear, non-technical error message appears and they remain on Login</t>
  </si>
  <si>
    <t>AC-06</t>
  </si>
  <si>
    <t>a user leaves the email or password field empty</t>
  </si>
  <si>
    <t>they attempt to submit</t>
  </si>
  <si>
    <t>the submit action is blocked and a validation message is shown</t>
  </si>
  <si>
    <t>AC-07</t>
  </si>
  <si>
    <t>Logout</t>
  </si>
  <si>
    <t>a logged-in user on Home</t>
  </si>
  <si>
    <t>they tap Logout</t>
  </si>
  <si>
    <t>their session is cleared and they are redirected to Login; pressing Back does not return them to Home</t>
  </si>
  <si>
    <t>AC-08</t>
  </si>
  <si>
    <t>Navigation</t>
  </si>
  <si>
    <t>any screen in the app</t>
  </si>
  <si>
    <t>the user taps a navigation element (button, link, back arrow)</t>
  </si>
  <si>
    <t>they land on the correct destination screen with no dead ends or broken links</t>
  </si>
  <si>
    <t>Thiwanka</t>
  </si>
  <si>
    <t>AC-09</t>
  </si>
  <si>
    <t>Accessibility</t>
  </si>
  <si>
    <t>a user with limited dexterity, mobility, or reduced vision (e.g. wheelchair users, seniors)</t>
  </si>
  <si>
    <t>they use the app with larger system font/display settings or need to reach key actions one-handed</t>
  </si>
  <si>
    <t>tap targets are comfortably sized, key actions are reachable one-handed, and the app remains usable at larger font/display sizes</t>
  </si>
  <si>
    <t>Open</t>
  </si>
  <si>
    <t>Sprint 1 — Test Cases</t>
  </si>
  <si>
    <t>Registration / Login / Logout / Navigation</t>
  </si>
  <si>
    <t>Test ID</t>
  </si>
  <si>
    <t>Module</t>
  </si>
  <si>
    <t>Test Case</t>
  </si>
  <si>
    <t>Steps</t>
  </si>
  <si>
    <t>Expected Result</t>
  </si>
  <si>
    <t>Actual Result</t>
  </si>
  <si>
    <t>Linked AC</t>
  </si>
  <si>
    <t>Tested By</t>
  </si>
  <si>
    <t>Date</t>
  </si>
  <si>
    <t>REG-01</t>
  </si>
  <si>
    <t>Successful registration with valid data</t>
  </si>
  <si>
    <t>1. Open Register screen
2. Enter valid name, email, password
3. Tap Submit</t>
  </si>
  <si>
    <t>Account created in Firebase Auth + Firestore; user redirected to Home</t>
  </si>
  <si>
    <t>Not Run</t>
  </si>
  <si>
    <t>REG-02</t>
  </si>
  <si>
    <t>Duplicate email registration</t>
  </si>
  <si>
    <t>1. Open Register
2. Enter an already-registered email
3. Submit</t>
  </si>
  <si>
    <t>Error message shown; no duplicate account created</t>
  </si>
  <si>
    <t>REG-03</t>
  </si>
  <si>
    <t>Empty fields on registration</t>
  </si>
  <si>
    <t>1. Open Register
2. Leave all fields empty
3. Tap Submit</t>
  </si>
  <si>
    <t>Validation errors shown; form does not submit</t>
  </si>
  <si>
    <t>REG-04</t>
  </si>
  <si>
    <t>Weak password rejected</t>
  </si>
  <si>
    <t>1. Open Register
2. Enter valid name/email
3. Enter weak password e.g. '123'
4. Submit</t>
  </si>
  <si>
    <t>Password strength error shown; account not created</t>
  </si>
  <si>
    <t>REG-05</t>
  </si>
  <si>
    <t>Invalid email format rejected</t>
  </si>
  <si>
    <t>1. Open Register
2. Enter 'notanemail'
3. Submit</t>
  </si>
  <si>
    <t>Inline email format error shown</t>
  </si>
  <si>
    <t>LOG-01</t>
  </si>
  <si>
    <t>Successful login with valid credentials</t>
  </si>
  <si>
    <t>1. Open Login
2. Enter valid email/password
3. Submit</t>
  </si>
  <si>
    <t>User authenticated and redirected to Home</t>
  </si>
  <si>
    <t>LOG-02</t>
  </si>
  <si>
    <t>Login with wrong password</t>
  </si>
  <si>
    <t>1. Open Login
2. Enter valid email, wrong password
3. Submit</t>
  </si>
  <si>
    <t>Clear error shown; user stays on Login</t>
  </si>
  <si>
    <t>LOG-03</t>
  </si>
  <si>
    <t>Login with non-existent email</t>
  </si>
  <si>
    <t>1. Open Login
2. Enter unregistered email
3. Submit</t>
  </si>
  <si>
    <t>LOG-04</t>
  </si>
  <si>
    <t>Empty field validation</t>
  </si>
  <si>
    <t>1. Open Login
2. Leave email or password blank
3. Attempt submit</t>
  </si>
  <si>
    <t>Submit blocked; validation message shown</t>
  </si>
  <si>
    <t>OUT-01</t>
  </si>
  <si>
    <t>Logout clears session</t>
  </si>
  <si>
    <t>1. Log in
2. From Home, tap Logout</t>
  </si>
  <si>
    <t>Redirected to Login; session cleared</t>
  </si>
  <si>
    <t>OUT-02</t>
  </si>
  <si>
    <t>Back button after logout</t>
  </si>
  <si>
    <t>1. Log out
2. Press device Back button</t>
  </si>
  <si>
    <t>User is NOT returned to Home; stays on/near Login</t>
  </si>
  <si>
    <t>NAV-01</t>
  </si>
  <si>
    <t>Register &lt;-&gt; Login links</t>
  </si>
  <si>
    <t>1. From Login, tap 'Create account'
2. From Register, tap 'Already have an account'</t>
  </si>
  <si>
    <t>Both links navigate to the correct screen</t>
  </si>
  <si>
    <t>NAV-02</t>
  </si>
  <si>
    <t>Home back button behavior</t>
  </si>
  <si>
    <t>1. Log in to Home
2. Press device Back button</t>
  </si>
  <si>
    <t>App does not crash or return to Login unexpectedly</t>
  </si>
  <si>
    <t>ACC-01</t>
  </si>
  <si>
    <t>Large font/display scaling support</t>
  </si>
  <si>
    <t>1. Increase system font size and display size to maximum (Settings &gt; Display &gt; Font size)
2. Open Login, Register, and Home screens</t>
  </si>
  <si>
    <t>All text remains readable and unclipped; no buttons or labels overlap or become unusable</t>
  </si>
  <si>
    <t>ACC-02</t>
  </si>
  <si>
    <t>Tap target size and one-handed reachability</t>
  </si>
  <si>
    <t>1. Inspect buttons/links on Login, Register, Home
2. Attempt to complete Login and Logout using only one hand/thumb</t>
  </si>
  <si>
    <t>All tap targets meet minimum comfortable size (approx 48x48dp); key actions reachable one-handed</t>
  </si>
  <si>
    <t>Status legend: Pass = green, Fail = red, Blocked = grey, Not Run = white</t>
  </si>
  <si>
    <t>Sprint 1 — Bug Tracker</t>
  </si>
  <si>
    <t>Log every failed test case here and link back to the dev's Jira ticket</t>
  </si>
  <si>
    <t>Bug ID</t>
  </si>
  <si>
    <t>Title</t>
  </si>
  <si>
    <t>Related Test ID</t>
  </si>
  <si>
    <t>Steps to Reproduce</t>
  </si>
  <si>
    <t>Expected</t>
  </si>
  <si>
    <t>Actual</t>
  </si>
  <si>
    <t>Severity</t>
  </si>
  <si>
    <t>Reported By</t>
  </si>
  <si>
    <t>Assigned To</t>
  </si>
  <si>
    <t>Date Reported</t>
  </si>
  <si>
    <t>Date Fixed</t>
  </si>
  <si>
    <t>Retested?</t>
  </si>
  <si>
    <t>BUG-01</t>
  </si>
  <si>
    <t>Login fails silently with wrong password — no error shown</t>
  </si>
  <si>
    <t>1. Enter valid email
2. Enter wrong password
3. Tap Login</t>
  </si>
  <si>
    <t>Clear error message shown, user stays on Login</t>
  </si>
  <si>
    <t>Screen freezes for 1s, no message, button re-enables</t>
  </si>
  <si>
    <t>High</t>
  </si>
  <si>
    <t>De Silva</t>
  </si>
  <si>
    <t>2026-08-24</t>
  </si>
  <si>
    <t>No</t>
  </si>
  <si>
    <t>Sprint 1 — QA Summary</t>
  </si>
  <si>
    <t>Fill in during Sprint Review</t>
  </si>
  <si>
    <t>Total Test Cases</t>
  </si>
  <si>
    <t>Passed</t>
  </si>
  <si>
    <t>Failed</t>
  </si>
  <si>
    <t>Blocked</t>
  </si>
  <si>
    <t>Open Bugs (Blocker/High)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</si>
</sst>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A94D"/>
        <bgColor rgb="FFFF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A94D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pane ySplit="4" topLeftCell="A5" activePane="bottomLeft" state="frozen"/>
      <selection/>
      <selection pane="bottomLeft" activeCell="G11" sqref="G11"/>
    </sheetView>
  </sheetViews>
  <sheetFormatPr defaultColWidth="8.67592592592593" defaultRowHeight="14.4" outlineLevelCol="6"/>
  <cols>
    <col min="1" max="1" width="8" customWidth="1"/>
    <col min="2" max="2" width="14" customWidth="1"/>
    <col min="3" max="3" width="30" customWidth="1"/>
    <col min="4" max="4" width="34" customWidth="1"/>
    <col min="5" max="5" width="40" customWidth="1"/>
    <col min="6" max="6" width="20" customWidth="1"/>
    <col min="7" max="7" width="14" customWidth="1"/>
  </cols>
  <sheetData>
    <row r="1" ht="21.75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ht="6" customHeight="1"/>
    <row r="4" spans="1:7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39.6" spans="1:7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ht="26.4" spans="1:7">
      <c r="A6" s="6" t="s">
        <v>16</v>
      </c>
      <c r="B6" s="6" t="s">
        <v>10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15</v>
      </c>
    </row>
    <row r="7" ht="26.4" spans="1:7">
      <c r="A7" s="6" t="s">
        <v>21</v>
      </c>
      <c r="B7" s="6" t="s">
        <v>10</v>
      </c>
      <c r="C7" s="6" t="s">
        <v>22</v>
      </c>
      <c r="D7" s="6" t="s">
        <v>18</v>
      </c>
      <c r="E7" s="6" t="s">
        <v>23</v>
      </c>
      <c r="F7" s="6" t="s">
        <v>24</v>
      </c>
      <c r="G7" s="6" t="s">
        <v>15</v>
      </c>
    </row>
    <row r="8" ht="26.4" spans="1:7">
      <c r="A8" s="6" t="s">
        <v>25</v>
      </c>
      <c r="B8" s="6" t="s">
        <v>26</v>
      </c>
      <c r="C8" s="6" t="s">
        <v>27</v>
      </c>
      <c r="D8" s="6" t="s">
        <v>28</v>
      </c>
      <c r="E8" s="6" t="s">
        <v>29</v>
      </c>
      <c r="F8" s="6" t="s">
        <v>20</v>
      </c>
      <c r="G8" s="6" t="s">
        <v>15</v>
      </c>
    </row>
    <row r="9" ht="26.4" spans="1:7">
      <c r="A9" s="6" t="s">
        <v>30</v>
      </c>
      <c r="B9" s="6" t="s">
        <v>26</v>
      </c>
      <c r="C9" s="6" t="s">
        <v>31</v>
      </c>
      <c r="D9" s="6" t="s">
        <v>18</v>
      </c>
      <c r="E9" s="6" t="s">
        <v>32</v>
      </c>
      <c r="F9" s="6" t="s">
        <v>20</v>
      </c>
      <c r="G9" s="6" t="s">
        <v>15</v>
      </c>
    </row>
    <row r="10" ht="26.4" spans="1:7">
      <c r="A10" s="6" t="s">
        <v>33</v>
      </c>
      <c r="B10" s="6" t="s">
        <v>26</v>
      </c>
      <c r="C10" s="6" t="s">
        <v>34</v>
      </c>
      <c r="D10" s="6" t="s">
        <v>35</v>
      </c>
      <c r="E10" s="6" t="s">
        <v>36</v>
      </c>
      <c r="F10" s="6" t="s">
        <v>24</v>
      </c>
      <c r="G10" s="6" t="s">
        <v>15</v>
      </c>
    </row>
    <row r="11" ht="39.6" spans="1:7">
      <c r="A11" s="6" t="s">
        <v>37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20</v>
      </c>
      <c r="G11" s="6" t="s">
        <v>15</v>
      </c>
    </row>
    <row r="12" ht="26.4" spans="1:7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15</v>
      </c>
    </row>
    <row r="13" ht="39.6" spans="1:7">
      <c r="A13" s="6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47</v>
      </c>
      <c r="G13" s="6" t="s">
        <v>53</v>
      </c>
    </row>
  </sheetData>
  <mergeCells count="2">
    <mergeCell ref="A1:G1"/>
    <mergeCell ref="A2:G2"/>
  </mergeCells>
  <dataValidations count="1">
    <dataValidation type="list" allowBlank="1" sqref="G5:G13">
      <formula1>"Not Started,In Progress,Met,Not Met"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4" topLeftCell="A5" activePane="bottomLeft" state="frozen"/>
      <selection/>
      <selection pane="bottomLeft" activeCell="A1" sqref="A1:J1"/>
    </sheetView>
  </sheetViews>
  <sheetFormatPr defaultColWidth="8.67592592592593" defaultRowHeight="14.4"/>
  <cols>
    <col min="1" max="1" width="9" customWidth="1"/>
    <col min="2" max="2" width="13" customWidth="1"/>
    <col min="3" max="3" width="26" customWidth="1"/>
    <col min="4" max="4" width="32" customWidth="1"/>
    <col min="5" max="5" width="34" customWidth="1"/>
    <col min="6" max="6" width="22" customWidth="1"/>
    <col min="7" max="7" width="11" customWidth="1"/>
    <col min="8" max="8" width="10" customWidth="1"/>
    <col min="9" max="10" width="12" customWidth="1"/>
  </cols>
  <sheetData>
    <row r="1" ht="21.75" customHeight="1" spans="1:10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/>
    <row r="4" ht="27.6" spans="1:10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8</v>
      </c>
      <c r="H4" s="5" t="s">
        <v>62</v>
      </c>
      <c r="I4" s="5" t="s">
        <v>63</v>
      </c>
      <c r="J4" s="5" t="s">
        <v>64</v>
      </c>
    </row>
    <row r="5" ht="39.6" spans="1:10">
      <c r="A5" s="6" t="s">
        <v>65</v>
      </c>
      <c r="B5" s="6" t="s">
        <v>10</v>
      </c>
      <c r="C5" s="6" t="s">
        <v>66</v>
      </c>
      <c r="D5" s="6" t="s">
        <v>67</v>
      </c>
      <c r="E5" s="6" t="s">
        <v>68</v>
      </c>
      <c r="F5" s="6"/>
      <c r="G5" s="6" t="s">
        <v>69</v>
      </c>
      <c r="H5" s="6" t="s">
        <v>9</v>
      </c>
      <c r="I5" s="6"/>
      <c r="J5" s="6"/>
    </row>
    <row r="6" ht="39.6" spans="1:10">
      <c r="A6" s="6" t="s">
        <v>70</v>
      </c>
      <c r="B6" s="6" t="s">
        <v>10</v>
      </c>
      <c r="C6" s="6" t="s">
        <v>71</v>
      </c>
      <c r="D6" s="6" t="s">
        <v>72</v>
      </c>
      <c r="E6" s="6" t="s">
        <v>73</v>
      </c>
      <c r="F6" s="6"/>
      <c r="G6" s="6" t="s">
        <v>69</v>
      </c>
      <c r="H6" s="6" t="s">
        <v>16</v>
      </c>
      <c r="I6" s="6"/>
      <c r="J6" s="6"/>
    </row>
    <row r="7" ht="39.6" spans="1:10">
      <c r="A7" s="6" t="s">
        <v>74</v>
      </c>
      <c r="B7" s="6" t="s">
        <v>10</v>
      </c>
      <c r="C7" s="6" t="s">
        <v>75</v>
      </c>
      <c r="D7" s="6" t="s">
        <v>76</v>
      </c>
      <c r="E7" s="6" t="s">
        <v>77</v>
      </c>
      <c r="F7" s="6"/>
      <c r="G7" s="6" t="s">
        <v>69</v>
      </c>
      <c r="H7" s="6" t="s">
        <v>21</v>
      </c>
      <c r="I7" s="6"/>
      <c r="J7" s="6"/>
    </row>
    <row r="8" ht="52.8" spans="1:10">
      <c r="A8" s="6" t="s">
        <v>78</v>
      </c>
      <c r="B8" s="6" t="s">
        <v>10</v>
      </c>
      <c r="C8" s="6" t="s">
        <v>79</v>
      </c>
      <c r="D8" s="6" t="s">
        <v>80</v>
      </c>
      <c r="E8" s="6" t="s">
        <v>81</v>
      </c>
      <c r="F8" s="6"/>
      <c r="G8" s="6" t="s">
        <v>69</v>
      </c>
      <c r="H8" s="6" t="s">
        <v>21</v>
      </c>
      <c r="I8" s="6"/>
      <c r="J8" s="6"/>
    </row>
    <row r="9" ht="39.6" spans="1:10">
      <c r="A9" s="6" t="s">
        <v>82</v>
      </c>
      <c r="B9" s="6" t="s">
        <v>10</v>
      </c>
      <c r="C9" s="6" t="s">
        <v>83</v>
      </c>
      <c r="D9" s="6" t="s">
        <v>84</v>
      </c>
      <c r="E9" s="6" t="s">
        <v>85</v>
      </c>
      <c r="F9" s="6"/>
      <c r="G9" s="6" t="s">
        <v>69</v>
      </c>
      <c r="H9" s="6" t="s">
        <v>21</v>
      </c>
      <c r="I9" s="6"/>
      <c r="J9" s="6"/>
    </row>
    <row r="10" ht="39.6" spans="1:10">
      <c r="A10" s="6" t="s">
        <v>86</v>
      </c>
      <c r="B10" s="6" t="s">
        <v>26</v>
      </c>
      <c r="C10" s="6" t="s">
        <v>87</v>
      </c>
      <c r="D10" s="6" t="s">
        <v>88</v>
      </c>
      <c r="E10" s="6" t="s">
        <v>89</v>
      </c>
      <c r="F10" s="6"/>
      <c r="G10" s="6" t="s">
        <v>69</v>
      </c>
      <c r="H10" s="6" t="s">
        <v>25</v>
      </c>
      <c r="I10" s="6"/>
      <c r="J10" s="6"/>
    </row>
    <row r="11" ht="39.6" spans="1:10">
      <c r="A11" s="6" t="s">
        <v>90</v>
      </c>
      <c r="B11" s="6" t="s">
        <v>26</v>
      </c>
      <c r="C11" s="6" t="s">
        <v>91</v>
      </c>
      <c r="D11" s="6" t="s">
        <v>92</v>
      </c>
      <c r="E11" s="6" t="s">
        <v>93</v>
      </c>
      <c r="F11" s="6"/>
      <c r="G11" s="6" t="s">
        <v>69</v>
      </c>
      <c r="H11" s="6" t="s">
        <v>30</v>
      </c>
      <c r="I11" s="6"/>
      <c r="J11" s="6"/>
    </row>
    <row r="12" ht="39.6" spans="1:10">
      <c r="A12" s="6" t="s">
        <v>94</v>
      </c>
      <c r="B12" s="6" t="s">
        <v>26</v>
      </c>
      <c r="C12" s="6" t="s">
        <v>95</v>
      </c>
      <c r="D12" s="6" t="s">
        <v>96</v>
      </c>
      <c r="E12" s="6" t="s">
        <v>93</v>
      </c>
      <c r="F12" s="6"/>
      <c r="G12" s="6" t="s">
        <v>69</v>
      </c>
      <c r="H12" s="6" t="s">
        <v>30</v>
      </c>
      <c r="I12" s="6"/>
      <c r="J12" s="6"/>
    </row>
    <row r="13" ht="39.6" spans="1:10">
      <c r="A13" s="6" t="s">
        <v>97</v>
      </c>
      <c r="B13" s="6" t="s">
        <v>26</v>
      </c>
      <c r="C13" s="6" t="s">
        <v>98</v>
      </c>
      <c r="D13" s="6" t="s">
        <v>99</v>
      </c>
      <c r="E13" s="6" t="s">
        <v>100</v>
      </c>
      <c r="F13" s="6"/>
      <c r="G13" s="6" t="s">
        <v>69</v>
      </c>
      <c r="H13" s="6" t="s">
        <v>33</v>
      </c>
      <c r="I13" s="6"/>
      <c r="J13" s="6"/>
    </row>
    <row r="14" ht="26.4" spans="1:10">
      <c r="A14" s="6" t="s">
        <v>101</v>
      </c>
      <c r="B14" s="6" t="s">
        <v>38</v>
      </c>
      <c r="C14" s="6" t="s">
        <v>102</v>
      </c>
      <c r="D14" s="6" t="s">
        <v>103</v>
      </c>
      <c r="E14" s="6" t="s">
        <v>104</v>
      </c>
      <c r="F14" s="6"/>
      <c r="G14" s="6" t="s">
        <v>69</v>
      </c>
      <c r="H14" s="6" t="s">
        <v>37</v>
      </c>
      <c r="I14" s="6"/>
      <c r="J14" s="6"/>
    </row>
    <row r="15" ht="26.4" spans="1:10">
      <c r="A15" s="6" t="s">
        <v>105</v>
      </c>
      <c r="B15" s="6" t="s">
        <v>38</v>
      </c>
      <c r="C15" s="6" t="s">
        <v>106</v>
      </c>
      <c r="D15" s="6" t="s">
        <v>107</v>
      </c>
      <c r="E15" s="6" t="s">
        <v>108</v>
      </c>
      <c r="F15" s="6"/>
      <c r="G15" s="6" t="s">
        <v>69</v>
      </c>
      <c r="H15" s="6" t="s">
        <v>37</v>
      </c>
      <c r="I15" s="6"/>
      <c r="J15" s="6"/>
    </row>
    <row r="16" ht="39.6" spans="1:10">
      <c r="A16" s="6" t="s">
        <v>109</v>
      </c>
      <c r="B16" s="6" t="s">
        <v>43</v>
      </c>
      <c r="C16" s="6" t="s">
        <v>110</v>
      </c>
      <c r="D16" s="6" t="s">
        <v>111</v>
      </c>
      <c r="E16" s="6" t="s">
        <v>112</v>
      </c>
      <c r="F16" s="6"/>
      <c r="G16" s="6" t="s">
        <v>69</v>
      </c>
      <c r="H16" s="6" t="s">
        <v>42</v>
      </c>
      <c r="I16" s="6"/>
      <c r="J16" s="6"/>
    </row>
    <row r="17" ht="26.4" spans="1:10">
      <c r="A17" s="6" t="s">
        <v>113</v>
      </c>
      <c r="B17" s="6" t="s">
        <v>43</v>
      </c>
      <c r="C17" s="6" t="s">
        <v>114</v>
      </c>
      <c r="D17" s="6" t="s">
        <v>115</v>
      </c>
      <c r="E17" s="6" t="s">
        <v>116</v>
      </c>
      <c r="F17" s="6"/>
      <c r="G17" s="6" t="s">
        <v>69</v>
      </c>
      <c r="H17" s="6" t="s">
        <v>42</v>
      </c>
      <c r="I17" s="6"/>
      <c r="J17" s="6"/>
    </row>
    <row r="18" ht="66" spans="1:10">
      <c r="A18" s="6" t="s">
        <v>117</v>
      </c>
      <c r="B18" s="6" t="s">
        <v>49</v>
      </c>
      <c r="C18" s="6" t="s">
        <v>118</v>
      </c>
      <c r="D18" s="6" t="s">
        <v>119</v>
      </c>
      <c r="E18" s="6" t="s">
        <v>120</v>
      </c>
      <c r="F18" s="6"/>
      <c r="G18" s="6" t="s">
        <v>69</v>
      </c>
      <c r="H18" s="6" t="s">
        <v>48</v>
      </c>
      <c r="I18" s="6"/>
      <c r="J18" s="6"/>
    </row>
    <row r="19" ht="52.8" spans="1:10">
      <c r="A19" s="6" t="s">
        <v>121</v>
      </c>
      <c r="B19" s="6" t="s">
        <v>49</v>
      </c>
      <c r="C19" s="6" t="s">
        <v>122</v>
      </c>
      <c r="D19" s="6" t="s">
        <v>123</v>
      </c>
      <c r="E19" s="6" t="s">
        <v>124</v>
      </c>
      <c r="F19" s="6"/>
      <c r="G19" s="6" t="s">
        <v>69</v>
      </c>
      <c r="H19" s="6" t="s">
        <v>48</v>
      </c>
      <c r="I19" s="6"/>
      <c r="J19" s="6"/>
    </row>
    <row r="21" spans="1:10">
      <c r="A21" s="9" t="s">
        <v>125</v>
      </c>
    </row>
  </sheetData>
  <mergeCells count="2">
    <mergeCell ref="A1:J1"/>
    <mergeCell ref="A2:J2"/>
  </mergeCells>
  <dataValidations count="1">
    <dataValidation type="list" allowBlank="1" sqref="G5:G19">
      <formula1>"Not Run,Pass,Fail,Blocked"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pane ySplit="4" topLeftCell="A5" activePane="bottomLeft" state="frozen"/>
      <selection/>
      <selection pane="bottomLeft" activeCell="A1" sqref="A1:M1"/>
    </sheetView>
  </sheetViews>
  <sheetFormatPr defaultColWidth="8.67592592592593" defaultRowHeight="14.4"/>
  <cols>
    <col min="1" max="1" width="9" customWidth="1"/>
    <col min="2" max="2" width="32" customWidth="1"/>
    <col min="3" max="3" width="12" customWidth="1"/>
    <col min="4" max="4" width="30" customWidth="1"/>
    <col min="5" max="6" width="28" customWidth="1"/>
    <col min="7" max="8" width="11" customWidth="1"/>
    <col min="9" max="10" width="13" customWidth="1"/>
    <col min="11" max="11" width="14" customWidth="1"/>
    <col min="12" max="12" width="12" customWidth="1"/>
    <col min="13" max="13" width="11" customWidth="1"/>
  </cols>
  <sheetData>
    <row r="1" ht="21.75" customHeight="1" spans="1:13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/>
    <row r="4" ht="27.6" spans="1:13">
      <c r="A4" s="5" t="s">
        <v>128</v>
      </c>
      <c r="B4" s="5" t="s">
        <v>129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  <c r="H4" s="5" t="s">
        <v>8</v>
      </c>
      <c r="I4" s="5" t="s">
        <v>135</v>
      </c>
      <c r="J4" s="5" t="s">
        <v>136</v>
      </c>
      <c r="K4" s="5" t="s">
        <v>137</v>
      </c>
      <c r="L4" s="5" t="s">
        <v>138</v>
      </c>
      <c r="M4" s="5" t="s">
        <v>139</v>
      </c>
    </row>
    <row r="5" ht="39.6" spans="1:13">
      <c r="A5" s="6" t="s">
        <v>140</v>
      </c>
      <c r="B5" s="6" t="s">
        <v>141</v>
      </c>
      <c r="C5" s="6" t="s">
        <v>90</v>
      </c>
      <c r="D5" s="6" t="s">
        <v>142</v>
      </c>
      <c r="E5" s="6" t="s">
        <v>143</v>
      </c>
      <c r="F5" s="6" t="s">
        <v>144</v>
      </c>
      <c r="G5" s="7" t="s">
        <v>145</v>
      </c>
      <c r="H5" s="6" t="s">
        <v>53</v>
      </c>
      <c r="I5" s="6" t="s">
        <v>146</v>
      </c>
      <c r="J5" s="6" t="s">
        <v>20</v>
      </c>
      <c r="K5" s="6" t="s">
        <v>147</v>
      </c>
      <c r="L5" s="6"/>
      <c r="M5" s="6" t="s">
        <v>148</v>
      </c>
    </row>
    <row r="6" spans="1: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</sheetData>
  <mergeCells count="2">
    <mergeCell ref="A1:M1"/>
    <mergeCell ref="A2:M2"/>
  </mergeCells>
  <dataValidations count="3">
    <dataValidation type="list" allowBlank="1" sqref="G5:G19">
      <formula1>"Blocker,High,Medium,Low"</formula1>
    </dataValidation>
    <dataValidation type="list" allowBlank="1" sqref="H5:H19">
      <formula1>"Open,In Progress,Fixed,Verified,Reopened,Won't Fix"</formula1>
    </dataValidation>
    <dataValidation type="list" allowBlank="1" sqref="M5:M19">
      <formula1>"Yes,No,N/A"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"/>
    </sheetView>
  </sheetViews>
  <sheetFormatPr defaultColWidth="8.67592592592593" defaultRowHeight="14.4" outlineLevelCol="1"/>
  <cols>
    <col min="1" max="1" width="28" customWidth="1"/>
    <col min="2" max="2" width="14" customWidth="1"/>
  </cols>
  <sheetData>
    <row r="1" ht="21.75" customHeight="1" spans="1:2">
      <c r="A1" s="1" t="s">
        <v>149</v>
      </c>
      <c r="B1" s="1"/>
    </row>
    <row r="2" spans="1:2">
      <c r="A2" s="2" t="s">
        <v>150</v>
      </c>
      <c r="B2" s="2"/>
    </row>
    <row r="3" ht="6" customHeight="1"/>
    <row r="5" spans="1:2">
      <c r="A5" s="3" t="s">
        <v>151</v>
      </c>
      <c r="B5" s="4">
        <f>COUNTA('Test Cases'!A5:A19)</f>
        <v>15</v>
      </c>
    </row>
    <row r="6" spans="1:2">
      <c r="A6" s="3" t="s">
        <v>152</v>
      </c>
      <c r="B6" s="4">
        <f>COUNTIF('Test Cases'!G5:G19,"Pass")</f>
        <v>0</v>
      </c>
    </row>
    <row r="7" spans="1:2">
      <c r="A7" s="3" t="s">
        <v>153</v>
      </c>
      <c r="B7" s="4">
        <f>COUNTIF('Test Cases'!G5:G19,"Fail")</f>
        <v>0</v>
      </c>
    </row>
    <row r="8" spans="1:2">
      <c r="A8" s="3" t="s">
        <v>154</v>
      </c>
      <c r="B8" s="4">
        <f>COUNTIF('Test Cases'!G5:G19,"Blocked")</f>
        <v>0</v>
      </c>
    </row>
    <row r="9" spans="1:2">
      <c r="A9" s="3" t="s">
        <v>69</v>
      </c>
      <c r="B9" s="4">
        <f>COUNTIF('Test Cases'!G5:G19,"Not Run")</f>
        <v>15</v>
      </c>
    </row>
    <row r="10" spans="1:2">
      <c r="A10" s="3" t="s">
        <v>155</v>
      </c>
      <c r="B10" s="4">
        <f>COUNTIFS('Bug Tracker'!G5:G18,"Blocker",'Bug Tracker'!H5:H18,"Open")+COUNTIFS('Bug Tracker'!G5:G18,"High",'Bug Tracker'!H5:H18,"Open")</f>
        <v>1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Acceptance Criteria</vt:lpstr>
      <vt:lpstr>Test Cases</vt:lpstr>
      <vt:lpstr>Bug Tracker</vt:lpstr>
      <vt:lpstr>Sprint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2026-08-23T13:54:00Z</dcterms:created>
  <dcterms:modified xsi:type="dcterms:W3CDTF">2026-08-23T14:29:08Z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14A2A294E9F940D59D85C7C999247EFB_12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